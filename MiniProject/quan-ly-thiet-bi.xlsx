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700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<sst xmlns="http://schemas.openxmlformats.org/spreadsheetml/2006/main" count="47" uniqueCount="36">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</sst>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2" sqref="B2"/>
    </sheetView>
  </sheetViews>
  <sheetFormatPr defaultColWidth="9" defaultRowHeight="14.5" outlineLevelRow="6" outlineLevelCol="4"/>
  <cols>
    <col min="1" max="4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t="s">
        <v>4</v>
      </c>
      <c r="B2" t="s">
        <v>5</v>
      </c>
      <c r="C2" s="3">
        <v>1450000</v>
      </c>
      <c r="D2" t="s">
        <v>6</v>
      </c>
    </row>
    <row r="3" spans="1:5">
      <c r="A3" t="s">
        <v>7</v>
      </c>
      <c r="B3" t="s">
        <v>8</v>
      </c>
      <c r="C3" s="3">
        <v>6200000</v>
      </c>
      <c r="D3" t="s">
        <v>6</v>
      </c>
    </row>
    <row r="4" spans="1:5">
      <c r="A4" t="s">
        <v>9</v>
      </c>
      <c r="B4" t="s">
        <v>10</v>
      </c>
      <c r="C4" s="3">
        <v>2300000</v>
      </c>
      <c r="D4" t="s">
        <v>6</v>
      </c>
    </row>
    <row r="5" spans="1:5">
      <c r="A5" t="s">
        <v>11</v>
      </c>
      <c r="B5" t="s">
        <v>12</v>
      </c>
      <c r="C5" s="3">
        <v>5400000</v>
      </c>
      <c r="D5" t="s">
        <v>13</v>
      </c>
    </row>
    <row r="6" spans="1:5">
      <c r="A6" t="s">
        <v>14</v>
      </c>
      <c r="B6" t="s">
        <v>15</v>
      </c>
      <c r="C6" s="3">
        <v>4200000</v>
      </c>
      <c r="D6" t="s">
        <v>6</v>
      </c>
    </row>
    <row r="7" spans="1:5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2" sqref="E2"/>
    </sheetView>
  </sheetViews>
  <sheetFormatPr defaultColWidth="9" defaultRowHeight="14.5" outlineLevelCol="4"/>
  <cols>
    <col min="1" max="4" width="24" customWidth="1"/>
  </cols>
  <sheetData>
    <row r="1" spans="1:5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</row>
    <row r="2" spans="1:5">
      <c r="A2" t="s">
        <v>22</v>
      </c>
      <c r="B2" t="s">
        <v>7</v>
      </c>
      <c r="C2">
        <v>16</v>
      </c>
      <c r="D2" s="2">
        <v>46093</v>
      </c>
      <c r="E2" t="str">
        <f>VLOOKUP((B2),'danh-muc-linh-kien'!$A$1:$D$7,2,0)</f>
        <v>Intel NUC i3</v>
      </c>
    </row>
    <row r="3" spans="1:5">
      <c r="A3" t="s">
        <v>23</v>
      </c>
      <c r="B3" t="s">
        <v>24</v>
      </c>
      <c r="C3">
        <v>4</v>
      </c>
      <c r="D3" s="2">
        <v>46096</v>
      </c>
      <c r="E3" t="e">
        <f>VLOOKUP((B3),'danh-muc-linh-kien'!$A$1:$D$7,2,0)</f>
        <v>#N/A</v>
      </c>
    </row>
    <row r="4" spans="1:5">
      <c r="A4" t="s">
        <v>25</v>
      </c>
      <c r="B4" t="s">
        <v>26</v>
      </c>
      <c r="C4">
        <v>8</v>
      </c>
      <c r="D4" s="2">
        <v>46114</v>
      </c>
      <c r="E4" t="e">
        <f>VLOOKUP((B4),'danh-muc-linh-kien'!$A$1:$D$7,2,0)</f>
        <v>#N/A</v>
      </c>
    </row>
    <row r="5" spans="1:5">
      <c r="A5" t="s">
        <v>27</v>
      </c>
      <c r="B5" t="s">
        <v>9</v>
      </c>
      <c r="C5">
        <v>8</v>
      </c>
      <c r="D5" s="2">
        <v>46121</v>
      </c>
      <c r="E5" t="str">
        <f>VLOOKUP((B5),'danh-muc-linh-kien'!$A$1:$D$7,2,0)</f>
        <v>Orange Pi 5</v>
      </c>
    </row>
    <row r="6" spans="1:5">
      <c r="A6" t="s">
        <v>28</v>
      </c>
      <c r="B6" t="s">
        <v>29</v>
      </c>
      <c r="C6">
        <v>16</v>
      </c>
      <c r="D6" s="2">
        <v>46133</v>
      </c>
      <c r="E6" t="e">
        <f>VLOOKUP((B6),'danh-muc-linh-kien'!$A$1:$D$7,2,0)</f>
        <v>#N/A</v>
      </c>
    </row>
    <row r="7" spans="1:5">
      <c r="A7" t="s">
        <v>30</v>
      </c>
      <c r="B7" t="s">
        <v>16</v>
      </c>
      <c r="C7">
        <v>4</v>
      </c>
      <c r="D7" s="2">
        <v>46147</v>
      </c>
      <c r="E7" t="str">
        <f>VLOOKUP((B7),'danh-muc-linh-kien'!$A$1:$D$7,2,0)</f>
        <v>Synology DS220j NAS</v>
      </c>
    </row>
    <row r="8" spans="1:5">
      <c r="A8" t="s">
        <v>31</v>
      </c>
      <c r="B8" t="s">
        <v>4</v>
      </c>
      <c r="C8">
        <v>4</v>
      </c>
      <c r="D8" s="2">
        <v>46160</v>
      </c>
      <c r="E8" t="str">
        <f>VLOOKUP((B8),'danh-muc-linh-kien'!$A$1:$D$7,2,0)</f>
        <v>Raspberry Pi 4 Model B</v>
      </c>
    </row>
    <row r="9" spans="1:5">
      <c r="A9" t="s">
        <v>32</v>
      </c>
      <c r="B9" t="s">
        <v>33</v>
      </c>
      <c r="C9">
        <v>8</v>
      </c>
      <c r="D9" s="2">
        <v>46174</v>
      </c>
      <c r="E9" t="e">
        <f>VLOOKUP((B9),'danh-muc-linh-kien'!$A$1:$D$7,2,0)</f>
        <v>#N/A</v>
      </c>
    </row>
    <row r="10" spans="1:5">
      <c r="A10" t="s">
        <v>34</v>
      </c>
      <c r="B10" t="s">
        <v>9</v>
      </c>
      <c r="C10">
        <v>8</v>
      </c>
      <c r="D10" s="2">
        <v>46187</v>
      </c>
      <c r="E10" t="str">
        <f>VLOOKUP((B10),'danh-muc-linh-kien'!$A$1:$D$7,2,0)</f>
        <v>Orange Pi 5</v>
      </c>
    </row>
    <row r="11" spans="1:5">
      <c r="A11" t="s">
        <v>35</v>
      </c>
      <c r="B11" t="s">
        <v>14</v>
      </c>
      <c r="C11">
        <v>8</v>
      </c>
      <c r="D11" s="2">
        <v>46206</v>
      </c>
      <c r="E11" t="str">
        <f>VLOOKUP((B11),'danh-muc-linh-kien'!$A$1:$D$7,2,0)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Phạm</cp:lastModifiedBy>
  <dcterms:created xsi:type="dcterms:W3CDTF">2026-10-13T00:17:00Z</dcterms:created>
  <dcterms:modified xsi:type="dcterms:W3CDTF">2026-10-27T08:58:21Z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74FE0A50135648A682D58B8D3D46FC3A_12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